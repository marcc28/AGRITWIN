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</sheets>
  <definedNames>
    <definedName name="_xlnm.Print_Area" localSheetId="0">'SPRINT0'!$A$1:$F$20</definedName>
    <definedName name="_xlnm._FilterDatabase" localSheetId="1" hidden="1">'SPRINT1'!$A$8:$H$24</definedName>
    <definedName name="_xlnm.Print_Titles" localSheetId="1">'SPRINT1'!$1:$8</definedName>
    <definedName name="_xlnm.Print_Area" localSheetId="1">'SPRINT1'!$A$1:$J$40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4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2580</v>
      </c>
      <c r="E5" s="14" t="inlineStr">
        <is>
          <t>AC</t>
        </is>
      </c>
      <c r="F5" s="15" t="n">
        <v>2647.5</v>
      </c>
      <c r="G5" s="14" t="inlineStr">
        <is>
          <t>EV</t>
        </is>
      </c>
      <c r="H5" s="15" t="n">
        <v>2362.5</v>
      </c>
      <c r="I5" s="14" t="inlineStr">
        <is>
          <t>PV - AC</t>
        </is>
      </c>
      <c r="J5" s="15" t="n">
        <v>-67.5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10</v>
      </c>
      <c r="E11" s="20" t="n">
        <v>1</v>
      </c>
      <c r="F11" s="21" t="n">
        <v>225</v>
      </c>
      <c r="G11" s="21" t="n">
        <v>150</v>
      </c>
      <c r="H11" s="21" t="n">
        <v>225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14</v>
      </c>
      <c r="C13" s="19" t="inlineStr">
        <is>
          <t>atnic15</t>
        </is>
      </c>
      <c r="D13" s="18" t="n">
        <v>18</v>
      </c>
      <c r="E13" s="20" t="n">
        <v>1</v>
      </c>
      <c r="F13" s="21" t="n">
        <v>210</v>
      </c>
      <c r="G13" s="21" t="n">
        <v>270</v>
      </c>
      <c r="H13" s="21" t="n">
        <v>210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5</v>
      </c>
      <c r="C15" s="19" t="inlineStr">
        <is>
          <t>flaviaserret04 &amp; Tigre44 &amp; ainhoaaf &amp; marcc28 &amp; atnic15</t>
        </is>
      </c>
      <c r="D15" s="18" t="n">
        <v>5</v>
      </c>
      <c r="E15" s="20" t="n">
        <v>0</v>
      </c>
      <c r="F15" s="21" t="n">
        <v>75</v>
      </c>
      <c r="G15" s="21" t="n">
        <v>75</v>
      </c>
      <c r="H15" s="21" t="n">
        <v>0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Arduino/ESP32 IoT Sensor Node</t>
        </is>
      </c>
      <c r="B19" s="18" t="n">
        <v>19</v>
      </c>
      <c r="C19" s="19" t="inlineStr">
        <is>
          <t>Tigre44 &amp; marcc28</t>
        </is>
      </c>
      <c r="D19" s="18" t="n">
        <v>22</v>
      </c>
      <c r="E19" s="20" t="n">
        <v>0.5</v>
      </c>
      <c r="F19" s="21" t="n">
        <v>285</v>
      </c>
      <c r="G19" s="21" t="n">
        <v>330</v>
      </c>
      <c r="H19" s="21" t="n">
        <v>142.5</v>
      </c>
    </row>
    <row r="20">
      <c r="A20" s="22" t="inlineStr">
        <is>
          <t>Implement Login System</t>
        </is>
      </c>
      <c r="B20" s="23" t="n">
        <v>12</v>
      </c>
      <c r="C20" s="24" t="inlineStr">
        <is>
          <t>flaviaserret04</t>
        </is>
      </c>
      <c r="D20" s="23" t="n">
        <v>12</v>
      </c>
      <c r="E20" s="25" t="n">
        <v>1</v>
      </c>
      <c r="F20" s="26" t="n">
        <v>180</v>
      </c>
      <c r="G20" s="26" t="n">
        <v>180</v>
      </c>
      <c r="H20" s="26" t="n">
        <v>180</v>
      </c>
    </row>
    <row r="21">
      <c r="A21" s="17" t="inlineStr">
        <is>
          <t>Implement Multilanguage on APP</t>
        </is>
      </c>
      <c r="B21" s="18" t="n">
        <v>4</v>
      </c>
      <c r="C21" s="19" t="inlineStr">
        <is>
          <t>flaviaserret04</t>
        </is>
      </c>
      <c r="D21" s="18" t="n">
        <v>4</v>
      </c>
      <c r="E21" s="20" t="n">
        <v>1</v>
      </c>
      <c r="F21" s="21" t="n">
        <v>60</v>
      </c>
      <c r="G21" s="21" t="n">
        <v>60</v>
      </c>
      <c r="H21" s="21" t="n">
        <v>60</v>
      </c>
    </row>
    <row r="22">
      <c r="A22" s="22" t="inlineStr">
        <is>
          <t>Implement SignUp System</t>
        </is>
      </c>
      <c r="B22" s="23" t="n">
        <v>13</v>
      </c>
      <c r="C22" s="24" t="inlineStr">
        <is>
          <t>flaviaserret04</t>
        </is>
      </c>
      <c r="D22" s="23" t="n">
        <v>13</v>
      </c>
      <c r="E22" s="25" t="n">
        <v>1</v>
      </c>
      <c r="F22" s="26" t="n">
        <v>195</v>
      </c>
      <c r="G22" s="26" t="n">
        <v>195</v>
      </c>
      <c r="H22" s="26" t="n">
        <v>195</v>
      </c>
    </row>
    <row r="23">
      <c r="A23" s="17" t="inlineStr">
        <is>
          <t>MockUp Figma</t>
        </is>
      </c>
      <c r="B23" s="18" t="n">
        <v>15</v>
      </c>
      <c r="C23" s="19" t="inlineStr">
        <is>
          <t>marcc28</t>
        </is>
      </c>
      <c r="D23" s="18" t="n">
        <v>16</v>
      </c>
      <c r="E23" s="20" t="n">
        <v>1</v>
      </c>
      <c r="F23" s="21" t="n">
        <v>225</v>
      </c>
      <c r="G23" s="21" t="n">
        <v>240</v>
      </c>
      <c r="H23" s="21" t="n">
        <v>225</v>
      </c>
    </row>
    <row r="24">
      <c r="A24" s="22" t="inlineStr">
        <is>
          <t>Risk Analysis</t>
        </is>
      </c>
      <c r="B24" s="23" t="n">
        <v>7</v>
      </c>
      <c r="C24" s="24" t="inlineStr">
        <is>
          <t>marcc28</t>
        </is>
      </c>
      <c r="D24" s="23" t="n">
        <v>7</v>
      </c>
      <c r="E24" s="25" t="n">
        <v>1</v>
      </c>
      <c r="F24" s="26" t="n">
        <v>105</v>
      </c>
      <c r="G24" s="26" t="n">
        <v>105</v>
      </c>
      <c r="H24" s="26" t="n">
        <v>105</v>
      </c>
    </row>
    <row r="25">
      <c r="A25" s="27" t="inlineStr">
        <is>
          <t>TOTAL SPRINT 1</t>
        </is>
      </c>
      <c r="B25" s="28" t="n">
        <v>172</v>
      </c>
      <c r="C25" s="27" t="inlineStr"/>
      <c r="D25" s="28" t="n">
        <v>176.5</v>
      </c>
      <c r="E25" s="27" t="inlineStr"/>
      <c r="F25" s="29" t="n">
        <v>2580</v>
      </c>
      <c r="G25" s="29" t="n">
        <v>2647.5</v>
      </c>
      <c r="H25" s="29" t="n">
        <v>2362.5</v>
      </c>
    </row>
    <row r="28" ht="22" customHeight="1">
      <c r="A28" s="12" t="inlineStr">
        <is>
          <t>Performance</t>
        </is>
      </c>
      <c r="B28" s="13" t="n"/>
      <c r="C28" s="13" t="n"/>
      <c r="D28" s="13" t="n"/>
    </row>
    <row r="29" ht="22" customHeight="1">
      <c r="A29" s="16" t="inlineStr">
        <is>
          <t>Metric</t>
        </is>
      </c>
      <c r="B29" s="16" t="inlineStr">
        <is>
          <t>Calculation</t>
        </is>
      </c>
      <c r="C29" s="16" t="inlineStr">
        <is>
          <t>Value</t>
        </is>
      </c>
      <c r="D29" s="16" t="inlineStr">
        <is>
          <t>Interpretation</t>
        </is>
      </c>
    </row>
    <row r="30">
      <c r="A30" s="30" t="inlineStr">
        <is>
          <t>CPI</t>
        </is>
      </c>
      <c r="B30" s="31" t="inlineStr">
        <is>
          <t>EV / AC</t>
        </is>
      </c>
      <c r="C30" s="32" t="n">
        <v>0.8923512747875354</v>
      </c>
      <c r="D30" s="31" t="inlineStr">
        <is>
          <t>Cost overrun</t>
        </is>
      </c>
    </row>
    <row r="31">
      <c r="A31" s="30" t="inlineStr">
        <is>
          <t>SPI</t>
        </is>
      </c>
      <c r="B31" s="31" t="inlineStr">
        <is>
          <t>EV / PV</t>
        </is>
      </c>
      <c r="C31" s="32" t="n">
        <v>0.9156976744186046</v>
      </c>
      <c r="D31" s="31" t="inlineStr">
        <is>
          <t>Behind plan</t>
        </is>
      </c>
    </row>
    <row r="32">
      <c r="A32" s="30" t="inlineStr">
        <is>
          <t>CV</t>
        </is>
      </c>
      <c r="B32" s="31" t="inlineStr">
        <is>
          <t>EV - AC</t>
        </is>
      </c>
      <c r="C32" s="33" t="n">
        <v>-285</v>
      </c>
      <c r="D32" s="31" t="inlineStr">
        <is>
          <t>Unfavourable</t>
        </is>
      </c>
    </row>
    <row r="33">
      <c r="A33" s="30" t="inlineStr">
        <is>
          <t>SV</t>
        </is>
      </c>
      <c r="B33" s="31" t="inlineStr">
        <is>
          <t>EV - PV</t>
        </is>
      </c>
      <c r="C33" s="33" t="n">
        <v>-217.5</v>
      </c>
      <c r="D33" s="31" t="inlineStr">
        <is>
          <t>Unfavourable</t>
        </is>
      </c>
    </row>
    <row r="36" ht="22" customHeight="1">
      <c r="A36" s="12" t="inlineStr">
        <is>
          <t>Forecast</t>
        </is>
      </c>
      <c r="B36" s="13" t="n"/>
      <c r="C36" s="13" t="n"/>
      <c r="D36" s="13" t="n"/>
    </row>
    <row r="37" ht="22" customHeight="1">
      <c r="A37" s="16" t="inlineStr">
        <is>
          <t>Metric</t>
        </is>
      </c>
      <c r="B37" s="16" t="inlineStr">
        <is>
          <t>Calculation</t>
        </is>
      </c>
      <c r="C37" s="16" t="inlineStr">
        <is>
          <t>Value</t>
        </is>
      </c>
      <c r="D37" s="16" t="inlineStr">
        <is>
          <t>Meaning</t>
        </is>
      </c>
    </row>
    <row r="38">
      <c r="A38" s="30" t="inlineStr">
        <is>
          <t>EAC</t>
        </is>
      </c>
      <c r="B38" s="31" t="inlineStr">
        <is>
          <t>BAC / CPI</t>
        </is>
      </c>
      <c r="C38" s="34" t="n">
        <v>11394.61587301587</v>
      </c>
      <c r="D38" s="31" t="inlineStr">
        <is>
          <t>Estimated total cost</t>
        </is>
      </c>
    </row>
    <row r="39">
      <c r="A39" s="30" t="inlineStr">
        <is>
          <t>ETC</t>
        </is>
      </c>
      <c r="B39" s="31" t="inlineStr">
        <is>
          <t>EAC - AC</t>
        </is>
      </c>
      <c r="C39" s="34" t="n">
        <v>8747.115873015873</v>
      </c>
      <c r="D39" s="31" t="inlineStr">
        <is>
          <t>Estimated remaining cost</t>
        </is>
      </c>
    </row>
    <row r="40">
      <c r="A40" s="30" t="inlineStr">
        <is>
          <t>VAC</t>
        </is>
      </c>
      <c r="B40" s="31" t="inlineStr">
        <is>
          <t>BAC - EAC</t>
        </is>
      </c>
      <c r="C40" s="33" t="n">
        <v>-1226.615873015873</v>
      </c>
      <c r="D40" s="31" t="inlineStr">
        <is>
          <t>Expected budget variance</t>
        </is>
      </c>
    </row>
  </sheetData>
  <autoFilter ref="A8:H24"/>
  <mergeCells count="5">
    <mergeCell ref="A1:J2"/>
    <mergeCell ref="A7:H7"/>
    <mergeCell ref="A4:J4"/>
    <mergeCell ref="A28:D28"/>
    <mergeCell ref="A36:D36"/>
  </mergeCells>
  <conditionalFormatting sqref="E9:E24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2026-10-25T11:57:26Z</dcterms:modified>
</cp:coreProperties>
</file>